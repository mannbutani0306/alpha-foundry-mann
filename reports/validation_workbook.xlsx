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or_ZScore_Audit" sheetId="1" state="visible" r:id="rId1"/>
    <sheet name="IC_Summary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2" fillId="0" borderId="1" pivotButton="0" quotePrefix="0" xfId="0"/>
    <xf numFmtId="0" fontId="2" fillId="0" borderId="1" pivotButton="0" quotePrefix="0" xfId="0"/>
    <xf numFmtId="165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21" customWidth="1" min="3" max="3"/>
    <col width="24" customWidth="1" min="4" max="4"/>
    <col width="23" customWidth="1" min="5" max="5"/>
    <col width="22" customWidth="1" min="6" max="6"/>
    <col width="24" customWidth="1" min="7" max="7"/>
    <col width="23" customWidth="1" min="8" max="8"/>
    <col width="23" customWidth="1" min="9" max="9"/>
    <col width="23" customWidth="1" min="10" max="10"/>
    <col width="23" customWidth="1" min="11" max="11"/>
    <col width="12" customWidth="1" min="12" max="12"/>
    <col width="17" customWidth="1" min="13" max="13"/>
  </cols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close</t>
        </is>
      </c>
      <c r="D1" s="1" t="inlineStr">
        <is>
          <t>ret_1m</t>
        </is>
      </c>
      <c r="E1" s="1" t="inlineStr">
        <is>
          <t>ret_3m</t>
        </is>
      </c>
      <c r="F1" s="1" t="inlineStr">
        <is>
          <t>vol_20d</t>
        </is>
      </c>
      <c r="G1" s="1" t="inlineStr">
        <is>
          <t>fwd_ret_21d</t>
        </is>
      </c>
      <c r="H1" s="1" t="inlineStr">
        <is>
          <t>ret_1m_z_manual</t>
        </is>
      </c>
      <c r="I1" s="1" t="inlineStr">
        <is>
          <t>ret_3m_z_manual</t>
        </is>
      </c>
      <c r="J1" s="1" t="inlineStr">
        <is>
          <t>vol_20d_z_manual</t>
        </is>
      </c>
      <c r="K1" s="1" t="inlineStr">
        <is>
          <t>composite_score</t>
        </is>
      </c>
      <c r="L1" s="1" t="inlineStr">
        <is>
          <t>rank</t>
        </is>
      </c>
      <c r="M1" s="1" t="inlineStr">
        <is>
          <t>shortlist_flag</t>
        </is>
      </c>
    </row>
    <row r="2">
      <c r="A2" s="2" t="n">
        <v>46204</v>
      </c>
      <c r="B2" s="3" t="inlineStr">
        <is>
          <t>AXISBANK</t>
        </is>
      </c>
      <c r="C2" s="4" t="n">
        <v>1367.645141601562</v>
      </c>
      <c r="D2" s="4" t="n">
        <v>0.09399720518658472</v>
      </c>
      <c r="E2" s="4" t="n">
        <v>0.1471795532882676</v>
      </c>
      <c r="F2" s="4" t="n">
        <v>0.1775812953105336</v>
      </c>
      <c r="G2" s="4" t="n">
        <v>-0.101448184888826</v>
      </c>
      <c r="H2" s="4" t="n">
        <v>0.7550799819404311</v>
      </c>
      <c r="I2" s="4" t="n">
        <v>0.9540042053220079</v>
      </c>
      <c r="J2" s="4" t="n">
        <v>-0.4764855837221679</v>
      </c>
      <c r="K2" s="4" t="n">
        <v>0.4108662011800904</v>
      </c>
      <c r="L2" s="4" t="n">
        <v>4</v>
      </c>
      <c r="M2" s="3" t="inlineStr">
        <is>
          <t>REJECTED</t>
        </is>
      </c>
    </row>
    <row r="3">
      <c r="A3" s="2" t="n">
        <v>46204</v>
      </c>
      <c r="B3" s="3" t="inlineStr">
        <is>
          <t>BHARTIARTL</t>
        </is>
      </c>
      <c r="C3" s="4" t="n">
        <v>1847.745727539062</v>
      </c>
      <c r="D3" s="4" t="n">
        <v>0.03130860701727367</v>
      </c>
      <c r="E3" s="4" t="n">
        <v>0.0500028544876534</v>
      </c>
      <c r="F3" s="4" t="n">
        <v>0.1669473869781003</v>
      </c>
      <c r="G3" s="4" t="n">
        <v>0.05902019940498393</v>
      </c>
      <c r="H3" s="4" t="n">
        <v>0.1940027439711449</v>
      </c>
      <c r="I3" s="4" t="n">
        <v>0.1218281792599394</v>
      </c>
      <c r="J3" s="4" t="n">
        <v>-0.601909899734834</v>
      </c>
      <c r="K3" s="4" t="n">
        <v>-0.09535965883458325</v>
      </c>
      <c r="L3" s="4" t="n">
        <v>9</v>
      </c>
      <c r="M3" s="3" t="inlineStr">
        <is>
          <t>REJECTED</t>
        </is>
      </c>
    </row>
    <row r="4">
      <c r="A4" s="2" t="n">
        <v>46204</v>
      </c>
      <c r="B4" s="3" t="inlineStr">
        <is>
          <t>HDFCBANK</t>
        </is>
      </c>
      <c r="C4" s="4" t="n">
        <v>796.1500244140625</v>
      </c>
      <c r="D4" s="4" t="n">
        <v>0.08161426350958334</v>
      </c>
      <c r="E4" s="4" t="n">
        <v>0.09035756438934195</v>
      </c>
      <c r="F4" s="4" t="n">
        <v>0.1891274500441272</v>
      </c>
      <c r="G4" s="4" t="n">
        <v>-0.05300510068826403</v>
      </c>
      <c r="H4" s="4" t="n">
        <v>0.6442498323285044</v>
      </c>
      <c r="I4" s="4" t="n">
        <v>0.4674071352582114</v>
      </c>
      <c r="J4" s="4" t="n">
        <v>-0.340301547263956</v>
      </c>
      <c r="K4" s="4" t="n">
        <v>0.2571184734409199</v>
      </c>
      <c r="L4" s="4" t="n">
        <v>6</v>
      </c>
      <c r="M4" s="3" t="inlineStr">
        <is>
          <t>REJECTED</t>
        </is>
      </c>
    </row>
    <row r="5">
      <c r="A5" s="2" t="n">
        <v>46204</v>
      </c>
      <c r="B5" s="3" t="inlineStr">
        <is>
          <t>HINDUNILVR</t>
        </is>
      </c>
      <c r="C5" s="4" t="n">
        <v>2182</v>
      </c>
      <c r="D5" s="4" t="n">
        <v>0.05277471645964105</v>
      </c>
      <c r="E5" s="4" t="n">
        <v>0.06756160163289948</v>
      </c>
      <c r="F5" s="4" t="n">
        <v>0.1978969698011741</v>
      </c>
      <c r="G5" s="4" t="n">
        <v>-0.03395971478288262</v>
      </c>
      <c r="H5" s="4" t="n">
        <v>0.3861293147925365</v>
      </c>
      <c r="I5" s="4" t="n">
        <v>0.2721931186158256</v>
      </c>
      <c r="J5" s="4" t="n">
        <v>-0.2368672329082031</v>
      </c>
      <c r="K5" s="4" t="n">
        <v>0.1404850668333864</v>
      </c>
      <c r="L5" s="4" t="n">
        <v>7</v>
      </c>
      <c r="M5" s="3" t="inlineStr">
        <is>
          <t>REJECTED</t>
        </is>
      </c>
    </row>
    <row r="6">
      <c r="A6" s="2" t="n">
        <v>46204</v>
      </c>
      <c r="B6" s="3" t="inlineStr">
        <is>
          <t>ICICIBANK</t>
        </is>
      </c>
      <c r="C6" s="4" t="n">
        <v>1379.800048828125</v>
      </c>
      <c r="D6" s="4" t="n">
        <v>0.1248981544851286</v>
      </c>
      <c r="E6" s="4" t="n">
        <v>0.1377917905371195</v>
      </c>
      <c r="F6" s="4" t="n">
        <v>0.1639341456644282</v>
      </c>
      <c r="G6" s="4" t="n">
        <v>0.03920856187234167</v>
      </c>
      <c r="H6" s="4" t="n">
        <v>1.031650519316774</v>
      </c>
      <c r="I6" s="4" t="n">
        <v>0.8736117738411546</v>
      </c>
      <c r="J6" s="4" t="n">
        <v>-0.6374503350041261</v>
      </c>
      <c r="K6" s="4" t="n">
        <v>0.4226039860512675</v>
      </c>
      <c r="L6" s="4" t="n">
        <v>3</v>
      </c>
      <c r="M6" s="3" t="inlineStr">
        <is>
          <t>SELECTED</t>
        </is>
      </c>
    </row>
    <row r="7">
      <c r="A7" s="2" t="n">
        <v>46204</v>
      </c>
      <c r="B7" s="3" t="inlineStr">
        <is>
          <t>INFY</t>
        </is>
      </c>
      <c r="C7" s="4" t="n">
        <v>985.2999877929688</v>
      </c>
      <c r="D7" s="4" t="n">
        <v>-0.2078838232911422</v>
      </c>
      <c r="E7" s="4" t="n">
        <v>-0.2109263195166847</v>
      </c>
      <c r="F7" s="4" t="n">
        <v>0.3485033995236048</v>
      </c>
      <c r="G7" s="4" t="n">
        <v>0.1723332892486011</v>
      </c>
      <c r="H7" s="4" t="n">
        <v>-1.94682401017227</v>
      </c>
      <c r="I7" s="4" t="n">
        <v>-2.112647840059372</v>
      </c>
      <c r="J7" s="4" t="n">
        <v>1.539498318168824</v>
      </c>
      <c r="K7" s="4" t="n">
        <v>-0.8399911773542725</v>
      </c>
      <c r="L7" s="4" t="n">
        <v>15</v>
      </c>
      <c r="M7" s="3" t="inlineStr">
        <is>
          <t>REJECTED</t>
        </is>
      </c>
    </row>
    <row r="8">
      <c r="A8" s="2" t="n">
        <v>46204</v>
      </c>
      <c r="B8" s="3" t="inlineStr">
        <is>
          <t>ITC</t>
        </is>
      </c>
      <c r="C8" s="4" t="n">
        <v>290.2999877929688</v>
      </c>
      <c r="D8" s="4" t="n">
        <v>0.02488963033704761</v>
      </c>
      <c r="E8" s="4" t="n">
        <v>0.02231301281288656</v>
      </c>
      <c r="F8" s="4" t="n">
        <v>0.1398303073587906</v>
      </c>
      <c r="G8" s="4" t="n">
        <v>-0.01808474068467447</v>
      </c>
      <c r="H8" s="4" t="n">
        <v>0.1365514400417867</v>
      </c>
      <c r="I8" s="4" t="n">
        <v>-0.1152947390074765</v>
      </c>
      <c r="J8" s="4" t="n">
        <v>-0.9217491401333496</v>
      </c>
      <c r="K8" s="4" t="n">
        <v>-0.3001641463663465</v>
      </c>
      <c r="L8" s="4" t="n">
        <v>11</v>
      </c>
      <c r="M8" s="3" t="inlineStr">
        <is>
          <t>REJECTED</t>
        </is>
      </c>
    </row>
    <row r="9">
      <c r="A9" s="2" t="n">
        <v>46204</v>
      </c>
      <c r="B9" s="3" t="inlineStr">
        <is>
          <t>KOTAKBANK</t>
        </is>
      </c>
      <c r="C9" s="4" t="n">
        <v>399.7598571777344</v>
      </c>
      <c r="D9" s="4" t="n">
        <v>0.05645704439999566</v>
      </c>
      <c r="E9" s="4" t="n">
        <v>0.124701702713623</v>
      </c>
      <c r="F9" s="4" t="n">
        <v>0.2036429873694564</v>
      </c>
      <c r="G9" s="4" t="n">
        <v>-0.02591521658625162</v>
      </c>
      <c r="H9" s="4" t="n">
        <v>0.4190869889215895</v>
      </c>
      <c r="I9" s="4" t="n">
        <v>0.7615143533668139</v>
      </c>
      <c r="J9" s="4" t="n">
        <v>-0.1690943783030462</v>
      </c>
      <c r="K9" s="4" t="n">
        <v>0.337168987995119</v>
      </c>
      <c r="L9" s="4" t="n">
        <v>5</v>
      </c>
      <c r="M9" s="3" t="inlineStr">
        <is>
          <t>REJECTED</t>
        </is>
      </c>
    </row>
    <row r="10">
      <c r="A10" s="2" t="n">
        <v>46204</v>
      </c>
      <c r="B10" s="3" t="inlineStr">
        <is>
          <t>LT</t>
        </is>
      </c>
      <c r="C10" s="4" t="n">
        <v>4092.60009765625</v>
      </c>
      <c r="D10" s="4" t="n">
        <v>0.02291989241190007</v>
      </c>
      <c r="E10" s="4" t="n">
        <v>0.145550689211454</v>
      </c>
      <c r="F10" s="4" t="n">
        <v>0.2386428968363621</v>
      </c>
      <c r="G10" s="4" t="n">
        <v>-0.03784883516302584</v>
      </c>
      <c r="H10" s="4" t="n">
        <v>0.1189218367831486</v>
      </c>
      <c r="I10" s="4" t="n">
        <v>0.9400553713816905</v>
      </c>
      <c r="J10" s="4" t="n">
        <v>0.2437208884980514</v>
      </c>
      <c r="K10" s="4" t="n">
        <v>0.4342326988876302</v>
      </c>
      <c r="L10" s="4" t="n">
        <v>2</v>
      </c>
      <c r="M10" s="3" t="inlineStr">
        <is>
          <t>SELECTED</t>
        </is>
      </c>
    </row>
    <row r="11">
      <c r="A11" s="2" t="n">
        <v>46204</v>
      </c>
      <c r="B11" s="3" t="inlineStr">
        <is>
          <t>MARUTI</t>
        </is>
      </c>
      <c r="C11" s="4" t="n">
        <v>14395</v>
      </c>
      <c r="D11" s="4" t="n">
        <v>0.1054369528490247</v>
      </c>
      <c r="E11" s="4" t="n">
        <v>0.1507714445599169</v>
      </c>
      <c r="F11" s="4" t="n">
        <v>0.2968883064827393</v>
      </c>
      <c r="G11" s="4" t="n">
        <v>-0.01437999305314341</v>
      </c>
      <c r="H11" s="4" t="n">
        <v>0.8574683302038891</v>
      </c>
      <c r="I11" s="4" t="n">
        <v>0.9847634906381421</v>
      </c>
      <c r="J11" s="4" t="n">
        <v>0.9307110747396444</v>
      </c>
      <c r="K11" s="4" t="n">
        <v>0.9243142985272251</v>
      </c>
      <c r="L11" s="4" t="n">
        <v>1</v>
      </c>
      <c r="M11" s="3" t="inlineStr">
        <is>
          <t>SELECTED</t>
        </is>
      </c>
    </row>
    <row r="12">
      <c r="A12" s="2" t="n">
        <v>46204</v>
      </c>
      <c r="B12" s="3" t="inlineStr">
        <is>
          <t>RELIANCE</t>
        </is>
      </c>
      <c r="C12" s="4" t="n">
        <v>1308</v>
      </c>
      <c r="D12" s="4" t="n">
        <v>-0.000420163363695103</v>
      </c>
      <c r="E12" s="4" t="n">
        <v>-0.04028065187359198</v>
      </c>
      <c r="F12" s="4" t="n">
        <v>0.177056143192985</v>
      </c>
      <c r="G12" s="4" t="n">
        <v>-0.01154432384245985</v>
      </c>
      <c r="H12" s="4" t="n">
        <v>-0.08997698072192858</v>
      </c>
      <c r="I12" s="4" t="n">
        <v>-0.6513177545899539</v>
      </c>
      <c r="J12" s="4" t="n">
        <v>-0.4826796229302405</v>
      </c>
      <c r="K12" s="4" t="n">
        <v>-0.4079914527473743</v>
      </c>
      <c r="L12" s="4" t="n">
        <v>12</v>
      </c>
      <c r="M12" s="3" t="inlineStr">
        <is>
          <t>REJECTED</t>
        </is>
      </c>
    </row>
    <row r="13">
      <c r="A13" s="2" t="n">
        <v>46204</v>
      </c>
      <c r="B13" s="3" t="inlineStr">
        <is>
          <t>SBIN</t>
        </is>
      </c>
      <c r="C13" s="4" t="n">
        <v>1047.400024414062</v>
      </c>
      <c r="D13" s="4" t="n">
        <v>0.09486227740973852</v>
      </c>
      <c r="E13" s="4" t="n">
        <v>0.04763162364140805</v>
      </c>
      <c r="F13" s="4" t="n">
        <v>0.1646296066749523</v>
      </c>
      <c r="G13" s="4" t="n">
        <v>-0.02109984253466168</v>
      </c>
      <c r="H13" s="4" t="n">
        <v>0.7628225754548079</v>
      </c>
      <c r="I13" s="4" t="n">
        <v>0.1015220617764364</v>
      </c>
      <c r="J13" s="4" t="n">
        <v>-0.6292475445688893</v>
      </c>
      <c r="K13" s="4" t="n">
        <v>0.07836569755411833</v>
      </c>
      <c r="L13" s="4" t="n">
        <v>8</v>
      </c>
      <c r="M13" s="3" t="inlineStr">
        <is>
          <t>REJECTED</t>
        </is>
      </c>
    </row>
    <row r="14">
      <c r="A14" s="2" t="n">
        <v>46204</v>
      </c>
      <c r="B14" s="3" t="inlineStr">
        <is>
          <t>SUNPHARMA</t>
        </is>
      </c>
      <c r="C14" s="4" t="n">
        <v>1861.32177734375</v>
      </c>
      <c r="D14" s="4" t="n">
        <v>0.04262802784882092</v>
      </c>
      <c r="E14" s="4" t="n">
        <v>0.07966439373217571</v>
      </c>
      <c r="F14" s="4" t="n">
        <v>0.0863158573221712</v>
      </c>
      <c r="G14" s="4" t="n">
        <v>0.0750962031087723</v>
      </c>
      <c r="H14" s="4" t="n">
        <v>0.2953141396801922</v>
      </c>
      <c r="I14" s="4" t="n">
        <v>0.375835797959111</v>
      </c>
      <c r="J14" s="4" t="n">
        <v>-1.552938829080112</v>
      </c>
      <c r="K14" s="4" t="n">
        <v>-0.2939296304802696</v>
      </c>
      <c r="L14" s="4" t="n">
        <v>10</v>
      </c>
      <c r="M14" s="3" t="inlineStr">
        <is>
          <t>REJECTED</t>
        </is>
      </c>
    </row>
    <row r="15">
      <c r="A15" s="2" t="n">
        <v>46204</v>
      </c>
      <c r="B15" s="3" t="inlineStr">
        <is>
          <t>TCS</t>
        </is>
      </c>
      <c r="C15" s="4" t="n">
        <v>1971.788818359375</v>
      </c>
      <c r="D15" s="4" t="n">
        <v>-0.1897502660804753</v>
      </c>
      <c r="E15" s="4" t="n">
        <v>-0.1655666517890352</v>
      </c>
      <c r="F15" s="4" t="n">
        <v>0.3737281951625269</v>
      </c>
      <c r="G15" s="4" t="n">
        <v>0.2332963987753527</v>
      </c>
      <c r="H15" s="4" t="n">
        <v>-1.784524541186858</v>
      </c>
      <c r="I15" s="4" t="n">
        <v>-1.724208754363114</v>
      </c>
      <c r="J15" s="4" t="n">
        <v>1.83701853751485</v>
      </c>
      <c r="K15" s="4" t="n">
        <v>-0.5572382526783742</v>
      </c>
      <c r="L15" s="4" t="n">
        <v>14</v>
      </c>
      <c r="M15" s="3" t="inlineStr">
        <is>
          <t>REJECTED</t>
        </is>
      </c>
    </row>
    <row r="16">
      <c r="A16" s="2" t="n">
        <v>46204</v>
      </c>
      <c r="B16" s="3" t="inlineStr">
        <is>
          <t>WIPRO</t>
        </is>
      </c>
      <c r="C16" s="4" t="n">
        <v>168.2089233398438</v>
      </c>
      <c r="D16" s="4" t="n">
        <v>-0.1892393997758882</v>
      </c>
      <c r="E16" s="4" t="n">
        <v>-0.1101056330495706</v>
      </c>
      <c r="F16" s="4" t="n">
        <v>0.3449659769509225</v>
      </c>
      <c r="G16" s="4" t="n">
        <v>0.1077295908648064</v>
      </c>
      <c r="H16" s="4" t="n">
        <v>-1.779952171353749</v>
      </c>
      <c r="I16" s="4" t="n">
        <v>-1.249266399399416</v>
      </c>
      <c r="J16" s="4" t="n">
        <v>1.497775294727554</v>
      </c>
      <c r="K16" s="4" t="n">
        <v>-0.5104810920085371</v>
      </c>
      <c r="L16" s="4" t="n">
        <v>13</v>
      </c>
      <c r="M16" s="3" t="inlineStr">
        <is>
          <t>REJECTED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 Name</t>
        </is>
      </c>
      <c r="B1" s="1" t="inlineStr">
        <is>
          <t>Value</t>
        </is>
      </c>
      <c r="C1" s="1" t="inlineStr">
        <is>
          <t>Formula / Description</t>
        </is>
      </c>
    </row>
    <row r="2">
      <c r="A2" s="3" t="inlineStr">
        <is>
          <t>Sample Audit Date</t>
        </is>
      </c>
      <c r="B2" s="3" t="inlineStr">
        <is>
          <t>2026-07-01 00:00:00</t>
        </is>
      </c>
      <c r="C2" s="3" t="inlineStr">
        <is>
          <t>Date used for single-period cross-sectional audit</t>
        </is>
      </c>
    </row>
    <row r="3">
      <c r="A3" s="3" t="inlineStr">
        <is>
          <t>Total Names in Sample</t>
        </is>
      </c>
      <c r="B3" s="3" t="n">
        <v>15</v>
      </c>
      <c r="C3" s="3" t="inlineStr">
        <is>
          <t>Number of stocks in sample universe</t>
        </is>
      </c>
    </row>
    <row r="4">
      <c r="A4" s="3" t="inlineStr">
        <is>
          <t>Rank IC (Spearman)</t>
        </is>
      </c>
      <c r="B4" s="3">
        <f>CORREL(H2:H16, G2:G16)</f>
        <v/>
      </c>
      <c r="C4" s="3" t="inlineStr">
        <is>
          <t>Excel CORREL between Composite Score and Forward Returns</t>
        </is>
      </c>
    </row>
    <row r="5">
      <c r="A5" s="3" t="inlineStr">
        <is>
          <t>Top Shortlist Cutoff</t>
        </is>
      </c>
      <c r="B5" s="3" t="n">
        <v>3</v>
      </c>
      <c r="C5" s="3" t="inlineStr">
        <is>
          <t>Top-N names flagged for long allocation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2026-08-08T05:49:04Z</dcterms:created>
  <dcterms:modified xsi:type="dcterms:W3CDTF">2026-08-08T05:49:04Z</dcterms:modified>
</cp:coreProperties>
</file>